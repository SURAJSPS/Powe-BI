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eriod_Control" sheetId="2" state="visible" r:id="rId2"/>
    <sheet name="Setup_OTRules" sheetId="3" state="visible" r:id="rId3"/>
    <sheet name="Projects" sheetId="4" state="visible" r:id="rId4"/>
    <sheet name="Sites" sheetId="5" state="visible" r:id="rId5"/>
    <sheet name="Workers" sheetId="6" state="visible" r:id="rId6"/>
    <sheet name="Attendance" sheetId="7" state="visible" r:id="rId7"/>
    <sheet name="Expenses" sheetId="8" state="visible" r:id="rId8"/>
    <sheet name="AttendanceSummary" sheetId="9" state="visible" r:id="rId9"/>
    <sheet name="PayrollRuns" sheetId="10" state="visible" r:id="rId10"/>
    <sheet name="PayrollLines" sheetId="11" state="visible" r:id="rId11"/>
    <sheet name="Invoices" sheetId="12" state="visible" r:id="rId12"/>
    <sheet name="InvoiceLines" sheetId="13" state="visible" r:id="rId13"/>
    <sheet name="Dash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bl_OTRules" displayName="tbl_OTRules" ref="A1:E2" headerRowCount="1">
  <autoFilter ref="A1:E2"/>
  <tableColumns count="5">
    <tableColumn id="1" name="OTRuleID"/>
    <tableColumn id="2" name="RuleName"/>
    <tableColumn id="3" name="Multiplier"/>
    <tableColumn id="4" name="MaxOTHrsPerDay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rojects" displayName="tbl_Projects" ref="A1:H3" headerRowCount="1">
  <autoFilter ref="A1:H3"/>
  <tableColumns count="8">
    <tableColumn id="1" name="ProjectCode"/>
    <tableColumn id="2" name="ProjectName"/>
    <tableColumn id="3" name="ClientName"/>
    <tableColumn id="4" name="StartDate"/>
    <tableColumn id="5" name="EndDate"/>
    <tableColumn id="6" name="Status"/>
    <tableColumn id="7" name="Budget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ites" displayName="tbl_Sites" ref="A1:E3" headerRowCount="1">
  <autoFilter ref="A1:E3"/>
  <tableColumns count="5">
    <tableColumn id="1" name="SiteCode"/>
    <tableColumn id="2" name="ProjectCode"/>
    <tableColumn id="3" name="SiteName"/>
    <tableColumn id="4" name="Location"/>
    <tableColumn id="5" name="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Workers" displayName="tbl_Workers" ref="A1:M4" headerRowCount="1">
  <autoFilter ref="A1:M4"/>
  <tableColumns count="13">
    <tableColumn id="1" name="WorkerID"/>
    <tableColumn id="2" name="FullName"/>
    <tableColumn id="3" name="Phone"/>
    <tableColumn id="4" name="PayType"/>
    <tableColumn id="5" name="DailyRate"/>
    <tableColumn id="6" name="MonthlyGross"/>
    <tableColumn id="7" name="OTRuleID"/>
    <tableColumn id="8" name="RateEffectiveDate"/>
    <tableColumn id="9" name="Skill"/>
    <tableColumn id="10" name="IndiaState"/>
    <tableColumn id="11" name="PAN"/>
    <tableColumn id="12" name="Active"/>
    <tableColumn id="13" name="PrimaryProject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Attendance" displayName="tbl_Attendance" ref="A1:H5" headerRowCount="1">
  <autoFilter ref="A1:H5"/>
  <tableColumns count="8">
    <tableColumn id="1" name="Date"/>
    <tableColumn id="2" name="WorkerID"/>
    <tableColumn id="3" name="ProjectCode"/>
    <tableColumn id="4" name="SiteCode"/>
    <tableColumn id="5" name="Status"/>
    <tableColumn id="6" name="NormalHrs"/>
    <tableColumn id="7" name="OTHrs"/>
    <tableColumn id="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Expenses" displayName="tbl_Expenses" ref="A1:I3" headerRowCount="1">
  <autoFilter ref="A1:I3"/>
  <tableColumns count="9">
    <tableColumn id="1" name="ExpenseDate"/>
    <tableColumn id="2" name="ProjectCode"/>
    <tableColumn id="3" name="Category"/>
    <tableColumn id="4" name="Amount"/>
    <tableColumn id="5" name="GSTAmount"/>
    <tableColumn id="6" name="Vendor"/>
    <tableColumn id="7" name="Approved"/>
    <tableColumn id="8" name="BillLinkOrRef"/>
    <tableColumn id="9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AttendanceSummary" displayName="tbl_AttendanceSummary" ref="A1:N4" headerRowCount="1">
  <autoFilter ref="A1:N4"/>
  <tableColumns count="14">
    <tableColumn id="1" name="WorkerID"/>
    <tableColumn id="2" name="FullName"/>
    <tableColumn id="3" name="PayType"/>
    <tableColumn id="4" name="DailyRate"/>
    <tableColumn id="5" name="MonthlyGross"/>
    <tableColumn id="6" name="OTRuleID"/>
    <tableColumn id="7" name="PaidDays"/>
    <tableColumn id="8" name="TotalNormalHrs"/>
    <tableColumn id="9" name="TotalOTHrs"/>
    <tableColumn id="10" name="Multiplier"/>
    <tableColumn id="11" name="EstOTPay"/>
    <tableColumn id="12" name="EstBasePay"/>
    <tableColumn id="13" name="EstGrossBeforeStatutory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PayrollRuns" displayName="tbl_PayrollRuns" ref="A1:H2" headerRowCount="1">
  <autoFilter ref="A1:H2"/>
  <tableColumns count="8">
    <tableColumn id="1" name="RunID"/>
    <tableColumn id="2" name="PeriodLabel"/>
    <tableColumn id="3" name="PeriodStart"/>
    <tableColumn id="4" name="PeriodEnd"/>
    <tableColumn id="5" name="Status"/>
    <tableColumn id="6" name="ApprovedBy"/>
    <tableColumn id="7" name="ApprovedDate"/>
    <tableColumn id="8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PayrollLines" displayName="tbl_PayrollLines" ref="A1:F4" headerRowCount="1">
  <autoFilter ref="A1:F4"/>
  <tableColumns count="6">
    <tableColumn id="1" name="RunID"/>
    <tableColumn id="2" name="WorkerID"/>
    <tableColumn id="3" name="Component"/>
    <tableColumn id="4" name="Amount"/>
    <tableColumn id="5" name="StatutoryTag"/>
    <tableColumn id="6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Invoices" displayName="tbl_Invoices" ref="A1:M2" headerRowCount="1">
  <autoFilter ref="A1:M2"/>
  <tableColumns count="13">
    <tableColumn id="1" name="InvoiceNo"/>
    <tableColumn id="2" name="InvoiceDate"/>
    <tableColumn id="3" name="ProjectCode"/>
    <tableColumn id="4" name="ClientName"/>
    <tableColumn id="5" name="ClientGSTIN"/>
    <tableColumn id="6" name="SubTotal"/>
    <tableColumn id="7" name="CGST"/>
    <tableColumn id="8" name="SGST"/>
    <tableColumn id="9" name="IGST"/>
    <tableColumn id="10" name="Total"/>
    <tableColumn id="11" name="RetentionPct"/>
    <tableColumn id="12" name="Status"/>
    <tableColumn id="13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InvoiceLines" displayName="tbl_InvoiceLines" ref="A1:G2" headerRowCount="1">
  <autoFilter ref="A1:G2"/>
  <tableColumns count="7">
    <tableColumn id="1" name="InvoiceNo"/>
    <tableColumn id="2" name="LineNo"/>
    <tableColumn id="3" name="Description"/>
    <tableColumn id="4" name="HSN_SAC"/>
    <tableColumn id="5" name="TaxableAmount"/>
    <tableColumn id="6" name="GST_Rate_Pct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 xml:space="preserve">RNK Civil — Excel master workbook (all phases)
PHASE 1 — Master data: Setup_OTRules, Projects, Sites, Workers
PHASE 2 — Attendance: daily rows in Attendance (link WorkerID, ProjectCode, SiteCode)
PHASE 3 — Expenses: project costs, GST, approvals
PHASE 4 — Payroll: set period in Period_Control; review AttendanceSummary; create PayrollRuns + PayrollLines
PHASE 5 — Billing: Invoices + InvoiceLines (GST columns — confirm with your CA)
PHASE 6 — Dashboard: KPIs (uses Period_Control dates for MTD-style filters)
RULES
• Use Excel Tables only (do not delete header row). Add new rows inside the table.
• WorkerID / ProjectCode / SiteCode / InvoiceNo must stay unique and consistent.
• OneDrive/SharePoint: turn on version history; take monthly backup copies.
• This file is NOT a substitute for statutory payroll software — validate PF/ESI/PT/TDS with your CA.
OT &amp; PAY (simplified)
• AttendanceSummary estimates pay using Period_Control dates. Monthly workers: EstBasePay uses gross/26 × paid working days cap (adjust policy in column note).
• Refine OT and statutory columns before real payroll runs.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2" t="inlineStr">
        <is>
          <t>PeriodLabel</t>
        </is>
      </c>
      <c r="B1" s="2" t="inlineStr">
        <is>
          <t>Apr-2026</t>
        </is>
      </c>
    </row>
    <row r="2">
      <c r="A2" t="inlineStr">
        <is>
          <t>PeriodStart</t>
        </is>
      </c>
      <c r="B2" s="3" t="n">
        <v>46113</v>
      </c>
    </row>
    <row r="3">
      <c r="A3" t="inlineStr">
        <is>
          <t>PeriodEnd</t>
        </is>
      </c>
      <c r="B3" s="3" t="n">
        <v>46142</v>
      </c>
    </row>
    <row r="4">
      <c r="A4" t="inlineStr">
        <is>
          <t>Notes</t>
        </is>
      </c>
      <c r="B4" t="inlineStr">
        <is>
          <t>Change B2:B3 to filter AttendanceSummary &amp; Dashboard period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OTRuleID</t>
        </is>
      </c>
      <c r="B1" s="2" t="inlineStr">
        <is>
          <t>RuleName</t>
        </is>
      </c>
      <c r="C1" s="2" t="inlineStr">
        <is>
          <t>Multiplier</t>
        </is>
      </c>
      <c r="D1" s="2" t="inlineStr">
        <is>
          <t>MaxOTHrsPerDay</t>
        </is>
      </c>
      <c r="E1" s="2" t="inlineStr">
        <is>
          <t>Notes</t>
        </is>
      </c>
    </row>
    <row r="2">
      <c r="A2" t="inlineStr">
        <is>
          <t>OT-STD</t>
        </is>
      </c>
      <c r="B2" t="inlineStr">
        <is>
          <t>Standard double rate</t>
        </is>
      </c>
      <c r="C2" t="n">
        <v>2</v>
      </c>
      <c r="D2" t="n">
        <v>4</v>
      </c>
      <c r="E2" t="inlineStr">
        <is>
          <t>Hours beyond 8 × (DailyRate/8)×Multiplier — refine in payroll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ProjectCode</t>
        </is>
      </c>
      <c r="B1" s="2" t="inlineStr">
        <is>
          <t>ProjectName</t>
        </is>
      </c>
      <c r="C1" s="2" t="inlineStr">
        <is>
          <t>ClientName</t>
        </is>
      </c>
      <c r="D1" s="2" t="inlineStr">
        <is>
          <t>StartDate</t>
        </is>
      </c>
      <c r="E1" s="2" t="inlineStr">
        <is>
          <t>EndDate</t>
        </is>
      </c>
      <c r="F1" s="2" t="inlineStr">
        <is>
          <t>Status</t>
        </is>
      </c>
      <c r="G1" s="2" t="inlineStr">
        <is>
          <t>Budget</t>
        </is>
      </c>
      <c r="H1" s="2" t="inlineStr">
        <is>
          <t>Description</t>
        </is>
      </c>
    </row>
    <row r="2">
      <c r="A2" t="inlineStr">
        <is>
          <t>PRJ-001</t>
        </is>
      </c>
      <c r="B2" t="inlineStr">
        <is>
          <t>NH Road Package A</t>
        </is>
      </c>
      <c r="C2" t="inlineStr">
        <is>
          <t>NHAI</t>
        </is>
      </c>
      <c r="D2" s="3" t="n">
        <v>46023</v>
      </c>
      <c r="E2" s="3" t="n">
        <v>46387</v>
      </c>
      <c r="F2" t="inlineStr">
        <is>
          <t>Active</t>
        </is>
      </c>
      <c r="G2" t="n">
        <v>5000000</v>
      </c>
      <c r="H2" t="inlineStr">
        <is>
          <t>Example active project</t>
        </is>
      </c>
    </row>
    <row r="3">
      <c r="A3" t="inlineStr">
        <is>
          <t>PRJ-002</t>
        </is>
      </c>
      <c r="B3" t="inlineStr">
        <is>
          <t>Urban Drainage</t>
        </is>
      </c>
      <c r="C3" t="inlineStr">
        <is>
          <t>Municipal Corp</t>
        </is>
      </c>
      <c r="D3" s="3" t="n">
        <v>46082</v>
      </c>
      <c r="E3" t="inlineStr"/>
      <c r="F3" t="inlineStr">
        <is>
          <t>Planning</t>
        </is>
      </c>
      <c r="G3" t="n">
        <v>1200000</v>
      </c>
      <c r="H3" t="inlineStr">
        <is>
          <t>Second project</t>
        </is>
      </c>
    </row>
  </sheetData>
  <dataValidations count="1">
    <dataValidation sqref="F2:F500" showDropDown="0" showInputMessage="0" showErrorMessage="0" allowBlank="1" type="list">
      <formula1>"Planning,Active,On Hold,Completed,Archived"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SiteCode</t>
        </is>
      </c>
      <c r="B1" s="2" t="inlineStr">
        <is>
          <t>ProjectCode</t>
        </is>
      </c>
      <c r="C1" s="2" t="inlineStr">
        <is>
          <t>SiteName</t>
        </is>
      </c>
      <c r="D1" s="2" t="inlineStr">
        <is>
          <t>Location</t>
        </is>
      </c>
      <c r="E1" s="2" t="inlineStr">
        <is>
          <t>Active</t>
        </is>
      </c>
    </row>
    <row r="2">
      <c r="A2" t="inlineStr">
        <is>
          <t>S-001</t>
        </is>
      </c>
      <c r="B2" t="inlineStr">
        <is>
          <t>PRJ-001</t>
        </is>
      </c>
      <c r="C2" t="inlineStr">
        <is>
          <t>Km 12–15 Site Office</t>
        </is>
      </c>
      <c r="D2" t="inlineStr">
        <is>
          <t>NH-44 near km 12</t>
        </is>
      </c>
      <c r="E2" t="inlineStr">
        <is>
          <t>Yes</t>
        </is>
      </c>
    </row>
    <row r="3">
      <c r="A3" t="inlineStr">
        <is>
          <t>S-002</t>
        </is>
      </c>
      <c r="B3" t="inlineStr">
        <is>
          <t>PRJ-001</t>
        </is>
      </c>
      <c r="C3" t="inlineStr">
        <is>
          <t>Batch Plant</t>
        </is>
      </c>
      <c r="D3" t="inlineStr">
        <is>
          <t>Off-site batching</t>
        </is>
      </c>
      <c r="E3" t="inlineStr">
        <is>
          <t>Yes</t>
        </is>
      </c>
    </row>
  </sheetData>
  <dataValidations count="1">
    <dataValidation sqref="E2:E5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WorkerID</t>
        </is>
      </c>
      <c r="B1" s="2" t="inlineStr">
        <is>
          <t>FullName</t>
        </is>
      </c>
      <c r="C1" s="2" t="inlineStr">
        <is>
          <t>Phone</t>
        </is>
      </c>
      <c r="D1" s="2" t="inlineStr">
        <is>
          <t>PayType</t>
        </is>
      </c>
      <c r="E1" s="2" t="inlineStr">
        <is>
          <t>DailyRate</t>
        </is>
      </c>
      <c r="F1" s="2" t="inlineStr">
        <is>
          <t>MonthlyGross</t>
        </is>
      </c>
      <c r="G1" s="2" t="inlineStr">
        <is>
          <t>OTRuleID</t>
        </is>
      </c>
      <c r="H1" s="2" t="inlineStr">
        <is>
          <t>RateEffectiveDate</t>
        </is>
      </c>
      <c r="I1" s="2" t="inlineStr">
        <is>
          <t>Skill</t>
        </is>
      </c>
      <c r="J1" s="2" t="inlineStr">
        <is>
          <t>IndiaState</t>
        </is>
      </c>
      <c r="K1" s="2" t="inlineStr">
        <is>
          <t>PAN</t>
        </is>
      </c>
      <c r="L1" s="2" t="inlineStr">
        <is>
          <t>Active</t>
        </is>
      </c>
      <c r="M1" s="2" t="inlineStr">
        <is>
          <t>PrimaryProjectCode</t>
        </is>
      </c>
    </row>
    <row r="2">
      <c r="A2" t="inlineStr">
        <is>
          <t>W-001</t>
        </is>
      </c>
      <c r="B2" t="inlineStr">
        <is>
          <t>Ramesh Kumar</t>
        </is>
      </c>
      <c r="C2" t="inlineStr">
        <is>
          <t>9876500001</t>
        </is>
      </c>
      <c r="D2" t="inlineStr">
        <is>
          <t>Daily</t>
        </is>
      </c>
      <c r="E2" s="4" t="n">
        <v>800</v>
      </c>
      <c r="F2" s="4" t="inlineStr"/>
      <c r="G2" t="inlineStr">
        <is>
          <t>OT-STD</t>
        </is>
      </c>
      <c r="H2" s="3" t="n">
        <v>46113</v>
      </c>
      <c r="I2" t="inlineStr">
        <is>
          <t>Mason</t>
        </is>
      </c>
      <c r="J2" t="inlineStr">
        <is>
          <t>Maharashtra</t>
        </is>
      </c>
      <c r="K2" t="inlineStr"/>
      <c r="L2" t="inlineStr">
        <is>
          <t>Yes</t>
        </is>
      </c>
      <c r="M2" t="inlineStr">
        <is>
          <t>PRJ-001</t>
        </is>
      </c>
    </row>
    <row r="3">
      <c r="A3" t="inlineStr">
        <is>
          <t>W-002</t>
        </is>
      </c>
      <c r="B3" t="inlineStr">
        <is>
          <t>Suresh Patil</t>
        </is>
      </c>
      <c r="C3" t="inlineStr">
        <is>
          <t>9876500002</t>
        </is>
      </c>
      <c r="D3" t="inlineStr">
        <is>
          <t>Monthly</t>
        </is>
      </c>
      <c r="E3" s="4" t="inlineStr"/>
      <c r="F3" s="4" t="n">
        <v>22000</v>
      </c>
      <c r="G3" t="inlineStr">
        <is>
          <t>OT-STD</t>
        </is>
      </c>
      <c r="H3" s="3" t="n">
        <v>46113</v>
      </c>
      <c r="I3" t="inlineStr">
        <is>
          <t>Supervisor</t>
        </is>
      </c>
      <c r="J3" t="inlineStr">
        <is>
          <t>Maharashtra</t>
        </is>
      </c>
      <c r="K3" t="inlineStr">
        <is>
          <t>ABCDE1234F</t>
        </is>
      </c>
      <c r="L3" t="inlineStr">
        <is>
          <t>Yes</t>
        </is>
      </c>
      <c r="M3" t="inlineStr">
        <is>
          <t>PRJ-001</t>
        </is>
      </c>
    </row>
    <row r="4">
      <c r="A4" t="inlineStr">
        <is>
          <t>W-003</t>
        </is>
      </c>
      <c r="B4" t="inlineStr">
        <is>
          <t>Vendor Labour A</t>
        </is>
      </c>
      <c r="C4" t="inlineStr"/>
      <c r="D4" t="inlineStr">
        <is>
          <t>Daily</t>
        </is>
      </c>
      <c r="E4" s="4" t="n">
        <v>700</v>
      </c>
      <c r="F4" s="4" t="inlineStr"/>
      <c r="G4" t="inlineStr">
        <is>
          <t>OT-STD</t>
        </is>
      </c>
      <c r="H4" s="3" t="n">
        <v>46113</v>
      </c>
      <c r="I4" t="inlineStr">
        <is>
          <t>Helper</t>
        </is>
      </c>
      <c r="J4" t="inlineStr">
        <is>
          <t>Maharashtra</t>
        </is>
      </c>
      <c r="K4" t="inlineStr"/>
      <c r="L4" t="inlineStr">
        <is>
          <t>Yes</t>
        </is>
      </c>
      <c r="M4" t="inlineStr">
        <is>
          <t>PRJ-002</t>
        </is>
      </c>
    </row>
  </sheetData>
  <dataValidations count="2">
    <dataValidation sqref="D2:D2000" showDropDown="0" showInputMessage="0" showErrorMessage="0" allowBlank="0" type="list">
      <formula1>"Daily,Monthly"</formula1>
    </dataValidation>
    <dataValidation sqref="L2:L2000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WorkerID</t>
        </is>
      </c>
      <c r="C1" s="2" t="inlineStr">
        <is>
          <t>ProjectCode</t>
        </is>
      </c>
      <c r="D1" s="2" t="inlineStr">
        <is>
          <t>SiteCode</t>
        </is>
      </c>
      <c r="E1" s="2" t="inlineStr">
        <is>
          <t>Status</t>
        </is>
      </c>
      <c r="F1" s="2" t="inlineStr">
        <is>
          <t>NormalHrs</t>
        </is>
      </c>
      <c r="G1" s="2" t="inlineStr">
        <is>
          <t>OTHrs</t>
        </is>
      </c>
      <c r="H1" s="2" t="inlineStr">
        <is>
          <t>Notes</t>
        </is>
      </c>
    </row>
    <row r="2">
      <c r="A2" s="3" t="n">
        <v>46113</v>
      </c>
      <c r="B2" t="inlineStr">
        <is>
          <t>W-001</t>
        </is>
      </c>
      <c r="C2" t="inlineStr">
        <is>
          <t>PRJ-001</t>
        </is>
      </c>
      <c r="D2" t="inlineStr">
        <is>
          <t>S-001</t>
        </is>
      </c>
      <c r="E2" t="inlineStr">
        <is>
          <t>Present</t>
        </is>
      </c>
      <c r="F2" t="n">
        <v>8</v>
      </c>
      <c r="G2" t="n">
        <v>2</v>
      </c>
      <c r="H2" t="inlineStr"/>
    </row>
    <row r="3">
      <c r="A3" s="3" t="n">
        <v>46113</v>
      </c>
      <c r="B3" t="inlineStr">
        <is>
          <t>W-002</t>
        </is>
      </c>
      <c r="C3" t="inlineStr">
        <is>
          <t>PRJ-001</t>
        </is>
      </c>
      <c r="D3" t="inlineStr">
        <is>
          <t>S-001</t>
        </is>
      </c>
      <c r="E3" t="inlineStr">
        <is>
          <t>Present</t>
        </is>
      </c>
      <c r="F3" t="n">
        <v>8</v>
      </c>
      <c r="G3" t="n">
        <v>0</v>
      </c>
      <c r="H3" t="inlineStr"/>
    </row>
    <row r="4">
      <c r="A4" s="3" t="n">
        <v>46114</v>
      </c>
      <c r="B4" t="inlineStr">
        <is>
          <t>W-001</t>
        </is>
      </c>
      <c r="C4" t="inlineStr">
        <is>
          <t>PRJ-001</t>
        </is>
      </c>
      <c r="D4" t="inlineStr">
        <is>
          <t>S-001</t>
        </is>
      </c>
      <c r="E4" t="inlineStr">
        <is>
          <t>Present</t>
        </is>
      </c>
      <c r="F4" t="n">
        <v>8</v>
      </c>
      <c r="G4" t="n">
        <v>0</v>
      </c>
      <c r="H4" t="inlineStr">
        <is>
          <t>Full day</t>
        </is>
      </c>
    </row>
    <row r="5">
      <c r="A5" s="3" t="n">
        <v>46114</v>
      </c>
      <c r="B5" t="inlineStr">
        <is>
          <t>W-002</t>
        </is>
      </c>
      <c r="C5" t="inlineStr">
        <is>
          <t>PRJ-001</t>
        </is>
      </c>
      <c r="D5" t="inlineStr">
        <is>
          <t>S-001</t>
        </is>
      </c>
      <c r="E5" t="inlineStr">
        <is>
          <t>Absent</t>
        </is>
      </c>
      <c r="F5" t="n">
        <v>0</v>
      </c>
      <c r="G5" t="n">
        <v>0</v>
      </c>
      <c r="H5" t="inlineStr">
        <is>
          <t>Leave</t>
        </is>
      </c>
    </row>
  </sheetData>
  <dataValidations count="1">
    <dataValidation sqref="E2:E10000" showDropDown="0" showInputMessage="0" showErrorMessage="0" allowBlank="1" type="list">
      <formula1>"Present,Absent,Leave,Holiday,Half-day"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ExpenseDate</t>
        </is>
      </c>
      <c r="B1" s="2" t="inlineStr">
        <is>
          <t>ProjectCode</t>
        </is>
      </c>
      <c r="C1" s="2" t="inlineStr">
        <is>
          <t>Category</t>
        </is>
      </c>
      <c r="D1" s="2" t="inlineStr">
        <is>
          <t>Amount</t>
        </is>
      </c>
      <c r="E1" s="2" t="inlineStr">
        <is>
          <t>GSTAmount</t>
        </is>
      </c>
      <c r="F1" s="2" t="inlineStr">
        <is>
          <t>Vendor</t>
        </is>
      </c>
      <c r="G1" s="2" t="inlineStr">
        <is>
          <t>Approved</t>
        </is>
      </c>
      <c r="H1" s="2" t="inlineStr">
        <is>
          <t>BillLinkOrRef</t>
        </is>
      </c>
      <c r="I1" s="2" t="inlineStr">
        <is>
          <t>Notes</t>
        </is>
      </c>
    </row>
    <row r="2">
      <c r="A2" s="3" t="n">
        <v>46115</v>
      </c>
      <c r="B2" t="inlineStr">
        <is>
          <t>PRJ-001</t>
        </is>
      </c>
      <c r="C2" t="inlineStr">
        <is>
          <t>Petty cash</t>
        </is>
      </c>
      <c r="D2" s="4" t="n">
        <v>3500</v>
      </c>
      <c r="E2" s="4" t="n">
        <v>0</v>
      </c>
      <c r="F2" t="inlineStr">
        <is>
          <t>Local vendor</t>
        </is>
      </c>
      <c r="G2" t="inlineStr">
        <is>
          <t>Yes</t>
        </is>
      </c>
      <c r="H2" t="inlineStr">
        <is>
          <t>INV/PC/12</t>
        </is>
      </c>
      <c r="I2" t="inlineStr">
        <is>
          <t>Site consumables</t>
        </is>
      </c>
    </row>
    <row r="3">
      <c r="A3" s="3" t="n">
        <v>46116</v>
      </c>
      <c r="B3" t="inlineStr">
        <is>
          <t>PRJ-001</t>
        </is>
      </c>
      <c r="C3" t="inlineStr">
        <is>
          <t>Fuel</t>
        </is>
      </c>
      <c r="D3" s="4" t="n">
        <v>8200</v>
      </c>
      <c r="E3" s="4" t="n">
        <v>1476</v>
      </c>
      <c r="F3" t="inlineStr">
        <is>
          <t>HP Petrol</t>
        </is>
      </c>
      <c r="G3" t="inlineStr">
        <is>
          <t>No</t>
        </is>
      </c>
      <c r="H3" t="inlineStr"/>
      <c r="I3" t="inlineStr">
        <is>
          <t>Awaiting approval</t>
        </is>
      </c>
    </row>
  </sheetData>
  <dataValidations count="1">
    <dataValidation sqref="G2:G5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s="2" t="inlineStr">
        <is>
          <t>WorkerID</t>
        </is>
      </c>
      <c r="B1" s="2" t="inlineStr">
        <is>
          <t>FullName</t>
        </is>
      </c>
      <c r="C1" s="2" t="inlineStr">
        <is>
          <t>PayType</t>
        </is>
      </c>
      <c r="D1" s="2" t="inlineStr">
        <is>
          <t>DailyRate</t>
        </is>
      </c>
      <c r="E1" s="2" t="inlineStr">
        <is>
          <t>MonthlyGross</t>
        </is>
      </c>
      <c r="F1" s="2" t="inlineStr">
        <is>
          <t>OTRuleID</t>
        </is>
      </c>
      <c r="G1" s="2" t="inlineStr">
        <is>
          <t>PaidDays</t>
        </is>
      </c>
      <c r="H1" s="2" t="inlineStr">
        <is>
          <t>TotalNormalHrs</t>
        </is>
      </c>
      <c r="I1" s="2" t="inlineStr">
        <is>
          <t>TotalOTHrs</t>
        </is>
      </c>
      <c r="J1" s="2" t="inlineStr">
        <is>
          <t>Multiplier</t>
        </is>
      </c>
      <c r="K1" s="2" t="inlineStr">
        <is>
          <t>EstOTPay</t>
        </is>
      </c>
      <c r="L1" s="2" t="inlineStr">
        <is>
          <t>EstBasePay</t>
        </is>
      </c>
      <c r="M1" s="2" t="inlineStr">
        <is>
          <t>EstGrossBeforeStatutory</t>
        </is>
      </c>
      <c r="N1" s="2" t="inlineStr">
        <is>
          <t>Notes</t>
        </is>
      </c>
    </row>
    <row r="2">
      <c r="A2" t="inlineStr">
        <is>
          <t>W-001</t>
        </is>
      </c>
      <c r="B2">
        <f>IFERROR(XLOOKUP([@[WorkerID]],tbl_Workers[WorkerID],tbl_Workers[FullName]),"")</f>
        <v/>
      </c>
      <c r="C2">
        <f>IFERROR(XLOOKUP([@[WorkerID]],tbl_Workers[WorkerID],tbl_Workers[PayType]),"")</f>
        <v/>
      </c>
      <c r="D2" s="4">
        <f>IFERROR(XLOOKUP([@[WorkerID]],tbl_Workers[WorkerID],tbl_Workers[DailyRate]),0)</f>
        <v/>
      </c>
      <c r="E2" s="4">
        <f>IFERROR(XLOOKUP([@[WorkerID]],tbl_Workers[WorkerID],tbl_Workers[MonthlyGross]),0)</f>
        <v/>
      </c>
      <c r="F2" s="4">
        <f>IFERROR(XLOOKUP([@[WorkerID]],tbl_Workers[WorkerID],tbl_Workers[OTRuleID]),"")</f>
        <v/>
      </c>
      <c r="G2" s="4">
        <f>COUNTIFS(tbl_Attendance[WorkerID],[@[WorkerID]],tbl_Attendance[Date],"&gt;="&amp;Period_Control!$B$2,tbl_Attendance[Date],"&lt;="&amp;Period_Control!$B$3,tbl_Attendance[Status],"Present")</f>
        <v/>
      </c>
      <c r="H2" s="4">
        <f>SUMIFS(tbl_Attendance[NormalHrs],tbl_Attendance[WorkerID],[@[WorkerID]],tbl_Attendance[Date],"&gt;="&amp;Period_Control!$B$2,tbl_Attendance[Date],"&lt;="&amp;Period_Control!$B$3)</f>
        <v/>
      </c>
      <c r="I2" s="4">
        <f>SUMIFS(tbl_Attendance[OTHrs],tbl_Attendance[WorkerID],[@[WorkerID]],tbl_Attendance[Date],"&gt;="&amp;Period_Control!$B$2,tbl_Attendance[Date],"&lt;="&amp;Period_Control!$B$3)</f>
        <v/>
      </c>
      <c r="J2" s="4">
        <f>IFERROR(XLOOKUP([@[OTRuleID]],tbl_OTRules[OTRuleID],tbl_OTRules[Multiplier]),0)</f>
        <v/>
      </c>
      <c r="K2" s="4">
        <f>[@[TotalOTHrs]]*([@[DailyRate]]/8)*[@[Multiplier]]</f>
        <v/>
      </c>
      <c r="L2" s="4">
        <f>IF([@[PayType]]="Daily",[@[PaidDays]]*[@[DailyRate]],IF([@[PayType]]="Monthly",[@[MonthlyGross]]/26*MIN([@[PaidDays]],26),0))</f>
        <v/>
      </c>
      <c r="M2" s="4">
        <f>[@[EstBasePay]]+[@[EstOTPay]]</f>
        <v/>
      </c>
      <c r="N2" t="inlineStr">
        <is>
          <t>Review LOP/statutory before paying</t>
        </is>
      </c>
    </row>
    <row r="3">
      <c r="A3" t="inlineStr">
        <is>
          <t>W-002</t>
        </is>
      </c>
      <c r="B3">
        <f>IFERROR(XLOOKUP([@[WorkerID]],tbl_Workers[WorkerID],tbl_Workers[FullName]),"")</f>
        <v/>
      </c>
      <c r="C3">
        <f>IFERROR(XLOOKUP([@[WorkerID]],tbl_Workers[WorkerID],tbl_Workers[PayType]),"")</f>
        <v/>
      </c>
      <c r="D3" s="4">
        <f>IFERROR(XLOOKUP([@[WorkerID]],tbl_Workers[WorkerID],tbl_Workers[DailyRate]),0)</f>
        <v/>
      </c>
      <c r="E3" s="4">
        <f>IFERROR(XLOOKUP([@[WorkerID]],tbl_Workers[WorkerID],tbl_Workers[MonthlyGross]),0)</f>
        <v/>
      </c>
      <c r="F3" s="4">
        <f>IFERROR(XLOOKUP([@[WorkerID]],tbl_Workers[WorkerID],tbl_Workers[OTRuleID]),"")</f>
        <v/>
      </c>
      <c r="G3" s="4">
        <f>COUNTIFS(tbl_Attendance[WorkerID],[@[WorkerID]],tbl_Attendance[Date],"&gt;="&amp;Period_Control!$B$2,tbl_Attendance[Date],"&lt;="&amp;Period_Control!$B$3,tbl_Attendance[Status],"Present")</f>
        <v/>
      </c>
      <c r="H3" s="4">
        <f>SUMIFS(tbl_Attendance[NormalHrs],tbl_Attendance[WorkerID],[@[WorkerID]],tbl_Attendance[Date],"&gt;="&amp;Period_Control!$B$2,tbl_Attendance[Date],"&lt;="&amp;Period_Control!$B$3)</f>
        <v/>
      </c>
      <c r="I3" s="4">
        <f>SUMIFS(tbl_Attendance[OTHrs],tbl_Attendance[WorkerID],[@[WorkerID]],tbl_Attendance[Date],"&gt;="&amp;Period_Control!$B$2,tbl_Attendance[Date],"&lt;="&amp;Period_Control!$B$3)</f>
        <v/>
      </c>
      <c r="J3" s="4">
        <f>IFERROR(XLOOKUP([@[OTRuleID]],tbl_OTRules[OTRuleID],tbl_OTRules[Multiplier]),0)</f>
        <v/>
      </c>
      <c r="K3" s="4">
        <f>[@[TotalOTHrs]]*([@[DailyRate]]/8)*[@[Multiplier]]</f>
        <v/>
      </c>
      <c r="L3" s="4">
        <f>IF([@[PayType]]="Daily",[@[PaidDays]]*[@[DailyRate]],IF([@[PayType]]="Monthly",[@[MonthlyGross]]/26*MIN([@[PaidDays]],26),0))</f>
        <v/>
      </c>
      <c r="M3" s="4">
        <f>[@[EstBasePay]]+[@[EstOTPay]]</f>
        <v/>
      </c>
      <c r="N3" t="inlineStr">
        <is>
          <t>Review LOP/statutory before paying</t>
        </is>
      </c>
    </row>
    <row r="4">
      <c r="A4" t="inlineStr">
        <is>
          <t>W-003</t>
        </is>
      </c>
      <c r="B4">
        <f>IFERROR(XLOOKUP([@[WorkerID]],tbl_Workers[WorkerID],tbl_Workers[FullName]),"")</f>
        <v/>
      </c>
      <c r="C4">
        <f>IFERROR(XLOOKUP([@[WorkerID]],tbl_Workers[WorkerID],tbl_Workers[PayType]),"")</f>
        <v/>
      </c>
      <c r="D4" s="4">
        <f>IFERROR(XLOOKUP([@[WorkerID]],tbl_Workers[WorkerID],tbl_Workers[DailyRate]),0)</f>
        <v/>
      </c>
      <c r="E4" s="4">
        <f>IFERROR(XLOOKUP([@[WorkerID]],tbl_Workers[WorkerID],tbl_Workers[MonthlyGross]),0)</f>
        <v/>
      </c>
      <c r="F4" s="4">
        <f>IFERROR(XLOOKUP([@[WorkerID]],tbl_Workers[WorkerID],tbl_Workers[OTRuleID]),"")</f>
        <v/>
      </c>
      <c r="G4" s="4">
        <f>COUNTIFS(tbl_Attendance[WorkerID],[@[WorkerID]],tbl_Attendance[Date],"&gt;="&amp;Period_Control!$B$2,tbl_Attendance[Date],"&lt;="&amp;Period_Control!$B$3,tbl_Attendance[Status],"Present")</f>
        <v/>
      </c>
      <c r="H4" s="4">
        <f>SUMIFS(tbl_Attendance[NormalHrs],tbl_Attendance[WorkerID],[@[WorkerID]],tbl_Attendance[Date],"&gt;="&amp;Period_Control!$B$2,tbl_Attendance[Date],"&lt;="&amp;Period_Control!$B$3)</f>
        <v/>
      </c>
      <c r="I4" s="4">
        <f>SUMIFS(tbl_Attendance[OTHrs],tbl_Attendance[WorkerID],[@[WorkerID]],tbl_Attendance[Date],"&gt;="&amp;Period_Control!$B$2,tbl_Attendance[Date],"&lt;="&amp;Period_Control!$B$3)</f>
        <v/>
      </c>
      <c r="J4" s="4">
        <f>IFERROR(XLOOKUP([@[OTRuleID]],tbl_OTRules[OTRuleID],tbl_OTRules[Multiplier]),0)</f>
        <v/>
      </c>
      <c r="K4" s="4">
        <f>[@[TotalOTHrs]]*([@[DailyRate]]/8)*[@[Multiplier]]</f>
        <v/>
      </c>
      <c r="L4" s="4">
        <f>IF([@[PayType]]="Daily",[@[PaidDays]]*[@[DailyRate]],IF([@[PayType]]="Monthly",[@[MonthlyGross]]/26*MIN([@[PaidDays]],26),0))</f>
        <v/>
      </c>
      <c r="M4" s="4">
        <f>[@[EstBasePay]]+[@[EstOTPay]]</f>
        <v/>
      </c>
      <c r="N4" t="inlineStr">
        <is>
          <t>Review LOP/statutory before paying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RunID</t>
        </is>
      </c>
      <c r="B1" s="2" t="inlineStr">
        <is>
          <t>PeriodLabel</t>
        </is>
      </c>
      <c r="C1" s="2" t="inlineStr">
        <is>
          <t>PeriodStart</t>
        </is>
      </c>
      <c r="D1" s="2" t="inlineStr">
        <is>
          <t>PeriodEnd</t>
        </is>
      </c>
      <c r="E1" s="2" t="inlineStr">
        <is>
          <t>Status</t>
        </is>
      </c>
      <c r="F1" s="2" t="inlineStr">
        <is>
          <t>ApprovedBy</t>
        </is>
      </c>
      <c r="G1" s="2" t="inlineStr">
        <is>
          <t>ApprovedDate</t>
        </is>
      </c>
      <c r="H1" s="2" t="inlineStr">
        <is>
          <t>Notes</t>
        </is>
      </c>
    </row>
    <row r="2">
      <c r="A2" t="inlineStr">
        <is>
          <t>RUN-202604</t>
        </is>
      </c>
      <c r="B2" t="inlineStr">
        <is>
          <t>Apr-2026</t>
        </is>
      </c>
      <c r="C2" s="3" t="n">
        <v>46113</v>
      </c>
      <c r="D2" s="3" t="n">
        <v>46142</v>
      </c>
      <c r="E2" t="inlineStr">
        <is>
          <t>Draft</t>
        </is>
      </c>
      <c r="F2" t="inlineStr"/>
      <c r="G2" t="inlineStr"/>
      <c r="H2" t="inlineStr">
        <is>
          <t>Lock after CA review</t>
        </is>
      </c>
    </row>
  </sheetData>
  <dataValidations count="1">
    <dataValidation sqref="E2:E500" showDropDown="0" showInputMessage="0" showErrorMessage="0" allowBlank="1" type="list">
      <formula1>"Draft,Approved,Paid,Locked"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RunID</t>
        </is>
      </c>
      <c r="B1" s="2" t="inlineStr">
        <is>
          <t>WorkerID</t>
        </is>
      </c>
      <c r="C1" s="2" t="inlineStr">
        <is>
          <t>Component</t>
        </is>
      </c>
      <c r="D1" s="2" t="inlineStr">
        <is>
          <t>Amount</t>
        </is>
      </c>
      <c r="E1" s="2" t="inlineStr">
        <is>
          <t>StatutoryTag</t>
        </is>
      </c>
      <c r="F1" s="2" t="inlineStr">
        <is>
          <t>Notes</t>
        </is>
      </c>
    </row>
    <row r="2">
      <c r="A2" t="inlineStr">
        <is>
          <t>RUN-202604</t>
        </is>
      </c>
      <c r="B2" t="inlineStr">
        <is>
          <t>W-001</t>
        </is>
      </c>
      <c r="C2" t="inlineStr">
        <is>
          <t>Gross_Est</t>
        </is>
      </c>
      <c r="D2" s="4" t="n">
        <v>0</v>
      </c>
      <c r="E2" t="inlineStr">
        <is>
          <t>Earning</t>
        </is>
      </c>
      <c r="F2">
        <f>EstGross from AttendanceSummary</f>
        <v/>
      </c>
    </row>
    <row r="3">
      <c r="A3" t="inlineStr">
        <is>
          <t>RUN-202604</t>
        </is>
      </c>
      <c r="B3" t="inlineStr">
        <is>
          <t>W-001</t>
        </is>
      </c>
      <c r="C3" t="inlineStr">
        <is>
          <t>PF_Employee</t>
        </is>
      </c>
      <c r="D3" s="4" t="n">
        <v>0</v>
      </c>
      <c r="E3" t="inlineStr">
        <is>
          <t>Deduction</t>
        </is>
      </c>
      <c r="F3" t="inlineStr">
        <is>
          <t>Enter per CA</t>
        </is>
      </c>
    </row>
    <row r="4">
      <c r="A4" t="inlineStr">
        <is>
          <t>RUN-202604</t>
        </is>
      </c>
      <c r="B4" t="inlineStr">
        <is>
          <t>W-002</t>
        </is>
      </c>
      <c r="C4" t="inlineStr">
        <is>
          <t>Gross_Est</t>
        </is>
      </c>
      <c r="D4" s="4" t="n">
        <v>0</v>
      </c>
      <c r="E4" t="inlineStr">
        <is>
          <t>Earning</t>
        </is>
      </c>
      <c r="F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InvoiceNo</t>
        </is>
      </c>
      <c r="B1" s="2" t="inlineStr">
        <is>
          <t>InvoiceDate</t>
        </is>
      </c>
      <c r="C1" s="2" t="inlineStr">
        <is>
          <t>ProjectCode</t>
        </is>
      </c>
      <c r="D1" s="2" t="inlineStr">
        <is>
          <t>ClientName</t>
        </is>
      </c>
      <c r="E1" s="2" t="inlineStr">
        <is>
          <t>ClientGSTIN</t>
        </is>
      </c>
      <c r="F1" s="2" t="inlineStr">
        <is>
          <t>SubTotal</t>
        </is>
      </c>
      <c r="G1" s="2" t="inlineStr">
        <is>
          <t>CGST</t>
        </is>
      </c>
      <c r="H1" s="2" t="inlineStr">
        <is>
          <t>SGST</t>
        </is>
      </c>
      <c r="I1" s="2" t="inlineStr">
        <is>
          <t>IGST</t>
        </is>
      </c>
      <c r="J1" s="2" t="inlineStr">
        <is>
          <t>Total</t>
        </is>
      </c>
      <c r="K1" s="2" t="inlineStr">
        <is>
          <t>RetentionPct</t>
        </is>
      </c>
      <c r="L1" s="2" t="inlineStr">
        <is>
          <t>Status</t>
        </is>
      </c>
      <c r="M1" s="2" t="inlineStr">
        <is>
          <t>Notes</t>
        </is>
      </c>
    </row>
    <row r="2">
      <c r="A2" t="inlineStr">
        <is>
          <t>INV-2026-001</t>
        </is>
      </c>
      <c r="B2" s="3" t="n">
        <v>46117</v>
      </c>
      <c r="C2" t="inlineStr">
        <is>
          <t>PRJ-001</t>
        </is>
      </c>
      <c r="D2" t="inlineStr">
        <is>
          <t>NHAI</t>
        </is>
      </c>
      <c r="E2" t="inlineStr">
        <is>
          <t>27AAAAA0000A1Z5</t>
        </is>
      </c>
      <c r="F2" s="4" t="n">
        <v>100000</v>
      </c>
      <c r="G2" s="4" t="n">
        <v>9000</v>
      </c>
      <c r="H2" s="4" t="n">
        <v>9000</v>
      </c>
      <c r="I2" s="4" t="n">
        <v>0</v>
      </c>
      <c r="J2" s="4" t="n">
        <v>118000</v>
      </c>
      <c r="K2" t="n">
        <v>10</v>
      </c>
      <c r="L2" t="inlineStr">
        <is>
          <t>Sent</t>
        </is>
      </c>
      <c r="M2" t="inlineStr">
        <is>
          <t>Example GST split — verify with 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InvoiceNo</t>
        </is>
      </c>
      <c r="B1" s="2" t="inlineStr">
        <is>
          <t>LineNo</t>
        </is>
      </c>
      <c r="C1" s="2" t="inlineStr">
        <is>
          <t>Description</t>
        </is>
      </c>
      <c r="D1" s="2" t="inlineStr">
        <is>
          <t>HSN_SAC</t>
        </is>
      </c>
      <c r="E1" s="2" t="inlineStr">
        <is>
          <t>TaxableAmount</t>
        </is>
      </c>
      <c r="F1" s="2" t="inlineStr">
        <is>
          <t>GST_Rate_Pct</t>
        </is>
      </c>
      <c r="G1" s="2" t="inlineStr">
        <is>
          <t>Notes</t>
        </is>
      </c>
    </row>
    <row r="2">
      <c r="A2" t="inlineStr">
        <is>
          <t>INV-2026-001</t>
        </is>
      </c>
      <c r="B2" t="n">
        <v>1</v>
      </c>
      <c r="C2" t="inlineStr">
        <is>
          <t>Mobilization &amp; site establishment</t>
        </is>
      </c>
      <c r="D2" t="inlineStr">
        <is>
          <t>9954</t>
        </is>
      </c>
      <c r="E2" s="4" t="n">
        <v>100000</v>
      </c>
      <c r="F2" t="n">
        <v>18</v>
      </c>
      <c r="G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5" t="inlineStr">
        <is>
          <t>RNK Civil — KPIs (Phase 6)</t>
        </is>
      </c>
    </row>
    <row r="3">
      <c r="A3" t="inlineStr">
        <is>
          <t>Active projects</t>
        </is>
      </c>
      <c r="B3" s="4">
        <f>COUNTIFS(tbl_Projects[Status],"Active")</f>
        <v/>
      </c>
    </row>
    <row r="4">
      <c r="A4" t="inlineStr">
        <is>
          <t>Total projects</t>
        </is>
      </c>
      <c r="B4" s="4">
        <f>COUNTA(tbl_Projects[ProjectCode])</f>
        <v/>
      </c>
    </row>
    <row r="5">
      <c r="A5" t="inlineStr">
        <is>
          <t>Active workers (Yes)</t>
        </is>
      </c>
      <c r="B5" s="4">
        <f>COUNTIFS(tbl_Workers[Active],"Yes")</f>
        <v/>
      </c>
    </row>
    <row r="6">
      <c r="A6" t="inlineStr">
        <is>
          <t>Period expenses (Approved=Yes)</t>
        </is>
      </c>
      <c r="B6" s="4">
        <f>SUMIFS(tbl_Expenses[Amount],tbl_Expenses[ExpenseDate],"&gt;="&amp;Period_Control!$B$2,tbl_Expenses[ExpenseDate],"&lt;="&amp;Period_Control!$B$3,tbl_Expenses[Approved],"Yes")</f>
        <v/>
      </c>
    </row>
    <row r="7">
      <c r="A7" t="inlineStr">
        <is>
          <t>Period expense rows (all)</t>
        </is>
      </c>
      <c r="B7" s="4">
        <f>SUMIFS(tbl_Expenses[Amount],tbl_Expenses[ExpenseDate],"&gt;="&amp;Period_Control!$B$2,tbl_Expenses[ExpenseDate],"&lt;="&amp;Period_Control!$B$3)</f>
        <v/>
      </c>
    </row>
    <row r="8">
      <c r="A8" t="inlineStr">
        <is>
          <t>Attendance Present days (all workers, period)</t>
        </is>
      </c>
      <c r="B8" s="4">
        <f>COUNTIFS(tbl_Attendance[Date],"&gt;="&amp;Period_Control!$B$2,tbl_Attendance[Date],"&lt;="&amp;Period_Control!$B$3,tbl_Attendance[Status],"Present")</f>
        <v/>
      </c>
    </row>
    <row r="9">
      <c r="A9" t="inlineStr">
        <is>
          <t>Sum Est Gross (AttendanceSummary)</t>
        </is>
      </c>
      <c r="B9" s="4">
        <f>SUM(tbl_AttendanceSummary[EstGrossBeforeStatutory])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2026-04-06T16:59:58Z</dcterms:created>
  <dcterms:modified xsi:type="dcterms:W3CDTF">2026-04-06T16:59:58Z</dcterms:modified>
</cp:coreProperties>
</file>